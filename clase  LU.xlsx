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\"/>
    </mc:Choice>
  </mc:AlternateContent>
  <bookViews>
    <workbookView xWindow="0" yWindow="0" windowWidth="23280" windowHeight="9060" activeTab="1"/>
  </bookViews>
  <sheets>
    <sheet name="lu" sheetId="1" r:id="rId1"/>
    <sheet name="Hoja2" sheetId="2" r:id="rId2"/>
    <sheet name="DESAFIO" sheetId="3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2" l="1"/>
  <c r="F25" i="2"/>
  <c r="E31" i="2"/>
  <c r="J25" i="2"/>
  <c r="F31" i="2"/>
  <c r="F37" i="2" s="1"/>
  <c r="F32" i="2"/>
  <c r="E25" i="2"/>
  <c r="D37" i="2" l="1"/>
  <c r="D38" i="2" s="1"/>
  <c r="E36" i="2"/>
  <c r="F36" i="2"/>
  <c r="D36" i="2"/>
  <c r="D25" i="2"/>
  <c r="E37" i="2" l="1"/>
  <c r="D32" i="2"/>
  <c r="E32" i="2"/>
  <c r="K26" i="2" s="1"/>
  <c r="F38" i="2" l="1"/>
  <c r="E38" i="2"/>
  <c r="I52" i="2" s="1" a="1"/>
  <c r="I47" i="2" a="1"/>
  <c r="K52" i="2" l="1"/>
  <c r="I53" i="2"/>
  <c r="J52" i="2"/>
  <c r="I52" i="2"/>
  <c r="I54" i="2"/>
  <c r="K54" i="2"/>
  <c r="J54" i="2"/>
  <c r="K53" i="2"/>
  <c r="J53" i="2"/>
  <c r="I49" i="2"/>
  <c r="J49" i="2"/>
  <c r="K48" i="2"/>
  <c r="J48" i="2"/>
  <c r="K47" i="2"/>
  <c r="J47" i="2"/>
  <c r="K49" i="2"/>
  <c r="I47" i="2"/>
  <c r="I48" i="2"/>
  <c r="D42" i="2" a="1"/>
  <c r="D42" i="2" l="1"/>
  <c r="F44" i="2"/>
  <c r="E44" i="2"/>
  <c r="D44" i="2"/>
  <c r="F43" i="2"/>
  <c r="E43" i="2"/>
  <c r="D43" i="2"/>
  <c r="F42" i="2"/>
  <c r="E42" i="2"/>
  <c r="D48" i="2" a="1"/>
  <c r="D48" i="2" l="1"/>
  <c r="D49" i="2"/>
  <c r="D50" i="2"/>
  <c r="D52" i="2" l="1" a="1"/>
  <c r="D54" i="2" s="1"/>
  <c r="D53" i="2" l="1"/>
  <c r="D52" i="2"/>
</calcChain>
</file>

<file path=xl/sharedStrings.xml><?xml version="1.0" encoding="utf-8"?>
<sst xmlns="http://schemas.openxmlformats.org/spreadsheetml/2006/main" count="42" uniqueCount="39">
  <si>
    <t xml:space="preserve"> a=[ 3 -0.1 -0.2;0.1 7 -0.3;0.3 -0.2 10]</t>
  </si>
  <si>
    <t>a =</t>
  </si>
  <si>
    <t xml:space="preserve">    3.0000   -0.1000   -0.2000</t>
  </si>
  <si>
    <t xml:space="preserve">    0.1000    7.0000   -0.3000</t>
  </si>
  <si>
    <t xml:space="preserve">    0.3000   -0.2000   10.0000</t>
  </si>
  <si>
    <t>&gt;&gt; b=[7.85;-19.3;71.4]</t>
  </si>
  <si>
    <t>b =</t>
  </si>
  <si>
    <t>&gt;&gt; x=inv(a)*b</t>
  </si>
  <si>
    <t>x =</t>
  </si>
  <si>
    <t>&gt;&gt;</t>
  </si>
  <si>
    <t>&gt;&gt; [l,u]= lu(a)</t>
  </si>
  <si>
    <t>l =</t>
  </si>
  <si>
    <t xml:space="preserve">   1.0000        0        0</t>
  </si>
  <si>
    <t xml:space="preserve">   0.0333   1.0000        0</t>
  </si>
  <si>
    <t xml:space="preserve">   0.1000  -0.0271   1.0000</t>
  </si>
  <si>
    <t>u =</t>
  </si>
  <si>
    <t xml:space="preserve">         0    7.0033   -0.2933</t>
  </si>
  <si>
    <t xml:space="preserve">         0         0   10.0120</t>
  </si>
  <si>
    <t>a= u0</t>
  </si>
  <si>
    <t>u1=</t>
  </si>
  <si>
    <t>-f21 *a1i + a2i</t>
  </si>
  <si>
    <t>f21</t>
  </si>
  <si>
    <t>f31</t>
  </si>
  <si>
    <t>f32</t>
  </si>
  <si>
    <t>L0</t>
  </si>
  <si>
    <t>u2</t>
  </si>
  <si>
    <t>u3</t>
  </si>
  <si>
    <t>a= l* u</t>
  </si>
  <si>
    <t xml:space="preserve">L d =b </t>
  </si>
  <si>
    <t>inv(L)</t>
  </si>
  <si>
    <t>inv(U)</t>
  </si>
  <si>
    <t>U x = d</t>
  </si>
  <si>
    <t>inv(L) * b</t>
  </si>
  <si>
    <t>inv(u) *d</t>
  </si>
  <si>
    <t xml:space="preserve">    -3.000    -6.0000   2.000</t>
  </si>
  <si>
    <t xml:space="preserve">    1.000      1.000      5.000</t>
  </si>
  <si>
    <t xml:space="preserve">    10.000    2,000     -1.000</t>
  </si>
  <si>
    <t xml:space="preserve"> a=[ 10 2 -1;-3 -6 2;1 1 5]</t>
  </si>
  <si>
    <t>&gt;&gt; b=[27;-61.5;-21.5]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</si>
</sst>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164" fontId="0" fillId="0" borderId="0" xfId="0" applyNumberFormat="1"/>
    <xf numFmtId="3" fontId="0" fillId="2" borderId="0" xfId="0" applyNumberFormat="1" applyFill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horizontal="right"/>
    </xf>
    <xf numFmtId="0" fontId="0" fillId="3" borderId="0" xfId="0" applyFill="1"/>
    <xf numFmtId="0" fontId="0" fillId="0" borderId="0" xfId="0" quotePrefix="1"/>
    <xf numFmtId="0" fontId="0" fillId="4" borderId="0" xfId="0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695183</xdr:colOff>
      <xdr:row>23</xdr:row>
      <xdr:rowOff>142875</xdr:rowOff>
    </xdr:from>
    <xdr:to>
      <xdr:col>8</xdr:col>
      <xdr:colOff>166214</xdr:colOff>
      <xdr:row>25</xdr:row>
      <xdr:rowOff>189228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9326A3F7-3D77-45F8-907A-48DEFA83A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183" y="4524375"/>
          <a:ext cx="995031" cy="427353"/>
        </a:xfrm>
        <a:prstGeom prst="rect">
          <a:avLst/>
        </a:prstGeom>
      </xdr:spPr>
    </xdr:pic>
    <xdr:clientData/>
  </xdr:twoCellAnchor>
  <xdr:twoCellAnchor editAs="oneCell">
    <xdr:from>
      <xdr:col>6</xdr:col>
      <xdr:colOff>642207</xdr:colOff>
      <xdr:row>28</xdr:row>
      <xdr:rowOff>176892</xdr:rowOff>
    </xdr:from>
    <xdr:to>
      <xdr:col>8</xdr:col>
      <xdr:colOff>220637</xdr:colOff>
      <xdr:row>37</xdr:row>
      <xdr:rowOff>24777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E793CDB8-87F9-DCAA-D839-51168E546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14207" y="5510892"/>
          <a:ext cx="1102430" cy="15623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1</xdr:row>
      <xdr:rowOff>114300</xdr:rowOff>
    </xdr:from>
    <xdr:to>
      <xdr:col>9</xdr:col>
      <xdr:colOff>477005</xdr:colOff>
      <xdr:row>22</xdr:row>
      <xdr:rowOff>162490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B5CACA55-2EBC-B033-4772-EE7489DD4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4050" y="304800"/>
          <a:ext cx="5410955" cy="40486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7</xdr:col>
      <xdr:colOff>29004</xdr:colOff>
      <xdr:row>52</xdr:row>
      <xdr:rowOff>115034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75D62728-9239-686F-70CB-395B25E2A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0" y="4762500"/>
          <a:ext cx="3077004" cy="525853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11</xdr:col>
      <xdr:colOff>686215</xdr:colOff>
      <xdr:row>52</xdr:row>
      <xdr:rowOff>19771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4F13412C-F154-6D3A-E467-8F46A411D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0" y="4762500"/>
          <a:ext cx="2972215" cy="51632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24"/>
  <sheetViews>
    <sheetView zoomScale="140" zoomScaleNormal="140" workbookViewId="0">
      <selection activeCell="C20" sqref="C20:C22"/>
    </sheetView>
  </sheetViews>
  <sheetFormatPr baseColWidth="10" defaultRowHeight="15" x14ac:dyDescent="0.25"/>
  <sheetData>
    <row r="3" spans="3:8" x14ac:dyDescent="0.25">
      <c r="C3" t="s">
        <v>0</v>
      </c>
      <c r="H3" t="s">
        <v>10</v>
      </c>
    </row>
    <row r="4" spans="3:8" x14ac:dyDescent="0.25">
      <c r="C4" t="s">
        <v>1</v>
      </c>
      <c r="H4" t="s">
        <v>11</v>
      </c>
    </row>
    <row r="6" spans="3:8" x14ac:dyDescent="0.25">
      <c r="C6" t="s">
        <v>2</v>
      </c>
      <c r="H6" t="s">
        <v>12</v>
      </c>
    </row>
    <row r="7" spans="3:8" x14ac:dyDescent="0.25">
      <c r="C7" t="s">
        <v>3</v>
      </c>
      <c r="H7" t="s">
        <v>13</v>
      </c>
    </row>
    <row r="8" spans="3:8" x14ac:dyDescent="0.25">
      <c r="C8" t="s">
        <v>4</v>
      </c>
      <c r="H8" t="s">
        <v>14</v>
      </c>
    </row>
    <row r="10" spans="3:8" x14ac:dyDescent="0.25">
      <c r="C10" t="s">
        <v>5</v>
      </c>
      <c r="H10" t="s">
        <v>15</v>
      </c>
    </row>
    <row r="11" spans="3:8" x14ac:dyDescent="0.25">
      <c r="C11" t="s">
        <v>6</v>
      </c>
    </row>
    <row r="12" spans="3:8" x14ac:dyDescent="0.25">
      <c r="H12" t="s">
        <v>2</v>
      </c>
    </row>
    <row r="13" spans="3:8" x14ac:dyDescent="0.25">
      <c r="C13" s="10">
        <v>7.85</v>
      </c>
      <c r="H13" t="s">
        <v>16</v>
      </c>
    </row>
    <row r="14" spans="3:8" x14ac:dyDescent="0.25">
      <c r="C14" s="10">
        <v>-19.3</v>
      </c>
      <c r="H14" t="s">
        <v>17</v>
      </c>
    </row>
    <row r="15" spans="3:8" x14ac:dyDescent="0.25">
      <c r="C15" s="10">
        <v>71.400000000000006</v>
      </c>
    </row>
    <row r="17" spans="3:3" x14ac:dyDescent="0.25">
      <c r="C17" t="s">
        <v>7</v>
      </c>
    </row>
    <row r="18" spans="3:3" x14ac:dyDescent="0.25">
      <c r="C18" t="s">
        <v>8</v>
      </c>
    </row>
    <row r="20" spans="3:3" x14ac:dyDescent="0.25">
      <c r="C20" s="1">
        <v>3</v>
      </c>
    </row>
    <row r="21" spans="3:3" x14ac:dyDescent="0.25">
      <c r="C21" s="2">
        <v>-2.5</v>
      </c>
    </row>
    <row r="22" spans="3:3" x14ac:dyDescent="0.25">
      <c r="C22" s="1">
        <v>7</v>
      </c>
    </row>
    <row r="24" spans="3:3" x14ac:dyDescent="0.25">
      <c r="C2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L54"/>
  <sheetViews>
    <sheetView tabSelected="1" zoomScale="140" zoomScaleNormal="140" workbookViewId="0">
      <selection activeCell="F13" sqref="F13"/>
    </sheetView>
  </sheetViews>
  <sheetFormatPr baseColWidth="10" defaultRowHeight="15" x14ac:dyDescent="0.25"/>
  <cols>
    <col min="10" max="12" width="7.7109375" customWidth="1"/>
  </cols>
  <sheetData>
    <row r="4" spans="4:6" x14ac:dyDescent="0.25">
      <c r="D4" t="s">
        <v>37</v>
      </c>
    </row>
    <row r="5" spans="4:6" x14ac:dyDescent="0.25">
      <c r="D5" t="s">
        <v>1</v>
      </c>
    </row>
    <row r="7" spans="4:6" x14ac:dyDescent="0.25">
      <c r="D7" s="7" t="s">
        <v>36</v>
      </c>
      <c r="E7" s="7"/>
      <c r="F7" s="7"/>
    </row>
    <row r="8" spans="4:6" x14ac:dyDescent="0.25">
      <c r="D8" s="7" t="s">
        <v>34</v>
      </c>
      <c r="E8" s="7"/>
      <c r="F8" s="7"/>
    </row>
    <row r="9" spans="4:6" x14ac:dyDescent="0.25">
      <c r="D9" s="7" t="s">
        <v>35</v>
      </c>
      <c r="E9" s="7"/>
      <c r="F9" s="7"/>
    </row>
    <row r="11" spans="4:6" x14ac:dyDescent="0.25">
      <c r="D11" t="s">
        <v>38</v>
      </c>
    </row>
    <row r="12" spans="4:6" x14ac:dyDescent="0.25">
      <c r="D12" t="s">
        <v>6</v>
      </c>
    </row>
    <row r="14" spans="4:6" x14ac:dyDescent="0.25">
      <c r="D14" s="10">
        <v>27</v>
      </c>
    </row>
    <row r="15" spans="4:6" x14ac:dyDescent="0.25">
      <c r="D15" s="10">
        <v>-61.5</v>
      </c>
    </row>
    <row r="16" spans="4:6" x14ac:dyDescent="0.25">
      <c r="D16" s="10">
        <v>-21.5</v>
      </c>
    </row>
    <row r="19" spans="2:12" x14ac:dyDescent="0.25">
      <c r="D19" s="3">
        <v>10</v>
      </c>
      <c r="E19" s="4">
        <v>2</v>
      </c>
      <c r="F19" s="4">
        <v>-1</v>
      </c>
    </row>
    <row r="20" spans="2:12" x14ac:dyDescent="0.25">
      <c r="B20" t="s">
        <v>18</v>
      </c>
      <c r="D20" s="5">
        <v>-3</v>
      </c>
      <c r="E20" s="4">
        <v>-6</v>
      </c>
      <c r="F20" s="4">
        <v>2</v>
      </c>
      <c r="J20" s="8" t="s">
        <v>20</v>
      </c>
    </row>
    <row r="21" spans="2:12" x14ac:dyDescent="0.25">
      <c r="D21" s="4">
        <v>1</v>
      </c>
      <c r="E21" s="4">
        <v>1</v>
      </c>
      <c r="F21" s="4">
        <v>5</v>
      </c>
    </row>
    <row r="24" spans="2:12" x14ac:dyDescent="0.25">
      <c r="B24" t="s">
        <v>19</v>
      </c>
      <c r="D24" s="7">
        <v>10</v>
      </c>
      <c r="E24" s="7">
        <v>2</v>
      </c>
      <c r="F24" s="7">
        <v>-1</v>
      </c>
      <c r="I24" s="6" t="s">
        <v>24</v>
      </c>
      <c r="J24" s="7">
        <v>1</v>
      </c>
      <c r="K24" s="7">
        <v>0</v>
      </c>
      <c r="L24" s="7">
        <v>0</v>
      </c>
    </row>
    <row r="25" spans="2:12" x14ac:dyDescent="0.25">
      <c r="D25" s="7">
        <f>+-J25*D19+D20</f>
        <v>0</v>
      </c>
      <c r="E25" s="7">
        <f>+-J25*E19+E20</f>
        <v>-5.4</v>
      </c>
      <c r="F25" s="7">
        <f>+-J25*F19+F20</f>
        <v>1.7</v>
      </c>
      <c r="J25" s="7">
        <f>+D20/D19</f>
        <v>-0.3</v>
      </c>
      <c r="K25" s="7">
        <v>1</v>
      </c>
      <c r="L25" s="7">
        <v>0</v>
      </c>
    </row>
    <row r="26" spans="2:12" x14ac:dyDescent="0.25">
      <c r="D26" s="7">
        <v>1</v>
      </c>
      <c r="E26" s="7">
        <v>1</v>
      </c>
      <c r="F26" s="7">
        <v>5</v>
      </c>
      <c r="J26" s="7">
        <f>+D26/D24</f>
        <v>0.1</v>
      </c>
      <c r="K26" s="7">
        <f>+E32/E31</f>
        <v>-0.14814814814814814</v>
      </c>
      <c r="L26" s="7">
        <v>1</v>
      </c>
    </row>
    <row r="28" spans="2:12" x14ac:dyDescent="0.25">
      <c r="J28" s="9">
        <v>1</v>
      </c>
      <c r="K28" s="9">
        <v>0</v>
      </c>
      <c r="L28" s="9">
        <v>0</v>
      </c>
    </row>
    <row r="29" spans="2:12" x14ac:dyDescent="0.25">
      <c r="J29" s="9" t="s">
        <v>21</v>
      </c>
      <c r="K29" s="9">
        <v>1</v>
      </c>
      <c r="L29" s="9">
        <v>0</v>
      </c>
    </row>
    <row r="30" spans="2:12" x14ac:dyDescent="0.25">
      <c r="D30" s="7">
        <v>10</v>
      </c>
      <c r="E30" s="7">
        <v>2</v>
      </c>
      <c r="F30" s="7">
        <v>-1</v>
      </c>
      <c r="J30" s="9" t="s">
        <v>22</v>
      </c>
      <c r="K30" s="9" t="s">
        <v>23</v>
      </c>
      <c r="L30" s="9">
        <v>1</v>
      </c>
    </row>
    <row r="31" spans="2:12" x14ac:dyDescent="0.25">
      <c r="B31" t="s">
        <v>25</v>
      </c>
      <c r="D31" s="7">
        <v>0</v>
      </c>
      <c r="E31" s="7">
        <f>+E25</f>
        <v>-5.4</v>
      </c>
      <c r="F31" s="7">
        <f>+F25</f>
        <v>1.7</v>
      </c>
    </row>
    <row r="32" spans="2:12" x14ac:dyDescent="0.25">
      <c r="D32" s="7">
        <f>+-J26*D24+D26</f>
        <v>0</v>
      </c>
      <c r="E32" s="7">
        <f>+-J26*E24+E26</f>
        <v>0.8</v>
      </c>
      <c r="F32" s="7">
        <f>+-J26*F24+F26</f>
        <v>5.0999999999999996</v>
      </c>
    </row>
    <row r="36" spans="2:11" x14ac:dyDescent="0.25">
      <c r="B36" t="s">
        <v>26</v>
      </c>
      <c r="D36" s="7">
        <f>+D30</f>
        <v>10</v>
      </c>
      <c r="E36" s="7">
        <f t="shared" ref="E36:F36" si="0">+E30</f>
        <v>2</v>
      </c>
      <c r="F36" s="7">
        <f t="shared" si="0"/>
        <v>-1</v>
      </c>
    </row>
    <row r="37" spans="2:11" x14ac:dyDescent="0.25">
      <c r="D37" s="7">
        <f>+D31</f>
        <v>0</v>
      </c>
      <c r="E37" s="7">
        <f t="shared" ref="E37:F37" si="1">+E31</f>
        <v>-5.4</v>
      </c>
      <c r="F37" s="7">
        <f>+F31</f>
        <v>1.7</v>
      </c>
    </row>
    <row r="38" spans="2:11" x14ac:dyDescent="0.25">
      <c r="D38" s="7">
        <f>+D37</f>
        <v>0</v>
      </c>
      <c r="E38" s="7">
        <f>+-K26*E31+E32</f>
        <v>0</v>
      </c>
      <c r="F38" s="7">
        <f>+-K26*F31+F32</f>
        <v>5.3518518518518512</v>
      </c>
    </row>
    <row r="42" spans="2:11" x14ac:dyDescent="0.25">
      <c r="B42" t="s">
        <v>27</v>
      </c>
      <c r="D42" s="7">
        <f t="array" ref="D42:F44">+MMULT(J24:L26,D36:F38)</f>
        <v>10</v>
      </c>
      <c r="E42" s="7">
        <v>2</v>
      </c>
      <c r="F42" s="7">
        <v>-1</v>
      </c>
    </row>
    <row r="43" spans="2:11" x14ac:dyDescent="0.25">
      <c r="D43" s="7">
        <v>-3</v>
      </c>
      <c r="E43" s="7">
        <v>-6</v>
      </c>
      <c r="F43" s="7">
        <v>2</v>
      </c>
    </row>
    <row r="44" spans="2:11" x14ac:dyDescent="0.25">
      <c r="D44" s="7">
        <v>1</v>
      </c>
      <c r="E44" s="7">
        <v>1</v>
      </c>
      <c r="F44" s="7">
        <v>4.9999999999999991</v>
      </c>
    </row>
    <row r="47" spans="2:11" x14ac:dyDescent="0.25">
      <c r="B47" s="7"/>
      <c r="I47">
        <f t="array" ref="I47:K49">+MINVERSE(J24:L26)</f>
        <v>1</v>
      </c>
      <c r="J47">
        <v>0</v>
      </c>
      <c r="K47">
        <v>0</v>
      </c>
    </row>
    <row r="48" spans="2:11" x14ac:dyDescent="0.25">
      <c r="B48" s="7" t="s">
        <v>28</v>
      </c>
      <c r="D48">
        <f t="array" ref="D48:D50">+MMULT(I47:K49,D14:D16)</f>
        <v>27</v>
      </c>
      <c r="F48" t="s">
        <v>32</v>
      </c>
      <c r="H48" t="s">
        <v>29</v>
      </c>
      <c r="I48">
        <v>0.3</v>
      </c>
      <c r="J48">
        <v>1</v>
      </c>
      <c r="K48">
        <v>0</v>
      </c>
    </row>
    <row r="49" spans="2:11" x14ac:dyDescent="0.25">
      <c r="B49" s="7"/>
      <c r="D49">
        <v>-53.4</v>
      </c>
      <c r="I49">
        <v>-5.5555555555555566E-2</v>
      </c>
      <c r="J49">
        <v>0.14814814814814814</v>
      </c>
      <c r="K49">
        <v>1</v>
      </c>
    </row>
    <row r="50" spans="2:11" x14ac:dyDescent="0.25">
      <c r="B50" s="7"/>
      <c r="D50">
        <v>-32.111111111111114</v>
      </c>
    </row>
    <row r="51" spans="2:11" x14ac:dyDescent="0.25">
      <c r="B51" s="7"/>
    </row>
    <row r="52" spans="2:11" x14ac:dyDescent="0.25">
      <c r="B52" s="7" t="s">
        <v>31</v>
      </c>
      <c r="D52" s="7">
        <f t="array" ref="D52:D54">+MMULT(I52:K54,D48:D50)</f>
        <v>0.50000000000000022</v>
      </c>
      <c r="H52" t="s">
        <v>30</v>
      </c>
      <c r="I52">
        <f t="array" ref="I52:K54">+MINVERSE(D36:F38)</f>
        <v>0.1</v>
      </c>
      <c r="J52">
        <v>3.7037037037037035E-2</v>
      </c>
      <c r="K52">
        <v>6.9204152249134968E-3</v>
      </c>
    </row>
    <row r="53" spans="2:11" x14ac:dyDescent="0.25">
      <c r="B53" s="7"/>
      <c r="D53" s="7">
        <v>7.9999999999999982</v>
      </c>
      <c r="F53" t="s">
        <v>33</v>
      </c>
      <c r="I53">
        <v>0</v>
      </c>
      <c r="J53">
        <v>-0.18518518518518517</v>
      </c>
      <c r="K53">
        <v>5.8823529411764712E-2</v>
      </c>
    </row>
    <row r="54" spans="2:11" x14ac:dyDescent="0.25">
      <c r="B54" s="7"/>
      <c r="D54" s="7">
        <v>-6.0000000000000018</v>
      </c>
      <c r="I54">
        <v>0</v>
      </c>
      <c r="J54">
        <v>0</v>
      </c>
      <c r="K54">
        <v>0.18685121107266439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26"/>
  <sheetViews>
    <sheetView topLeftCell="A4" workbookViewId="0">
      <selection activeCell="J26" sqref="J26"/>
    </sheetView>
  </sheetViews>
  <sheetFormatPr baseColWidth="10" defaultRowHeight="15" x14ac:dyDescent="0.25"/>
  <sheetData>
    <row r="26" spans="10:10" x14ac:dyDescent="0.25">
      <c r="J26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lu</vt:lpstr>
      <vt:lpstr>Hoja2</vt:lpstr>
      <vt:lpstr>DESAFIO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usuario</cp:lastModifiedBy>
  <dcterms:created xsi:type="dcterms:W3CDTF">2022-09-20T14:34:01Z</dcterms:created>
  <dcterms:modified xsi:type="dcterms:W3CDTF">2026-03-26T15:15:06Z</dcterms:modified>
</cp:coreProperties>
</file>